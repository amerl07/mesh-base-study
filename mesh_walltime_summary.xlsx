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sh Wallti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40mm run stopped at 909 iterations, not 1250 like the other four runs. Cause not yet confirmed (early stopping-criterion hit vs. PBS walltime cutoff vs. other) — check starccm.log / .e file on Sabalcore to confirm before citing this row as directly comparable.</t>
        </r>
      </text>
    </comment>
  </commentList>
</comments>
</file>

<file path=xl/sharedStrings.xml><?xml version="1.0" encoding="utf-8"?>
<sst xmlns="http://schemas.openxmlformats.org/spreadsheetml/2006/main" count="16" uniqueCount="16">
  <si>
    <t xml:space="preserve">Mesh Base Size (mm)</t>
  </si>
  <si>
    <t xml:space="preserve">Iterations Run</t>
  </si>
  <si>
    <t xml:space="preserve">Start Time</t>
  </si>
  <si>
    <t xml:space="preserve">Solve End Time</t>
  </si>
  <si>
    <t xml:space="preserve">Job Complete Time</t>
  </si>
  <si>
    <t xml:space="preserve">Solve Time</t>
  </si>
  <si>
    <t xml:space="preserve">Post-Processing Time</t>
  </si>
  <si>
    <t xml:space="preserve">Total Wall Time</t>
  </si>
  <si>
    <t xml:space="preserve">Solve Time / Iteration (s)</t>
  </si>
  <si>
    <t xml:space="preserve">Notes:</t>
  </si>
  <si>
    <t xml:space="preserve">- Start Time = timestamp of 'machinefile' (written when PBS job begins executing on allocated nodes).</t>
  </si>
  <si>
    <t xml:space="preserve">- Solve End Time = timestamp of the numbered .sim file (solution written at final iteration).</t>
  </si>
  <si>
    <t xml:space="preserve">- Job Complete Time = timestamp of the PBS .o&lt;jobid&gt; log (written after scene export + post.zip archiving).</t>
  </si>
  <si>
    <t xml:space="preserve">- All times derived from file mtimes on Sabalcore (ls -la --time-style=full-iso), not PBS accounting logs (already purged for these jobs).</t>
  </si>
  <si>
    <t xml:space="preserve">- Convergence assumed for all five runs per request; not independently verified from force report residual/monitor data.</t>
  </si>
  <si>
    <t xml:space="preserve">- Job dir: /e/08/brklyrc01/bfr/YL_FC_MeshBase&lt;size&gt;mm_Straight_20260913/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</si>
</sst>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h:mm:ss"/>
    <numFmt numFmtId="166" formatCode="[h]:mm:ss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5" min="3" style="0" width="2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30</v>
      </c>
      <c r="B2" s="2" t="n">
        <v>1250</v>
      </c>
      <c r="C2" s="3" t="n">
        <v>46279.1429513889</v>
      </c>
      <c r="D2" s="3" t="n">
        <v>46279.1981134259</v>
      </c>
      <c r="E2" s="3" t="n">
        <v>46279.2072800926</v>
      </c>
      <c r="F2" s="4" t="n">
        <f aca="false">D2-C2</f>
        <v>0.055162037037037</v>
      </c>
      <c r="G2" s="4" t="n">
        <f aca="false">E2-D2</f>
        <v>0.00916666666666667</v>
      </c>
      <c r="H2" s="5" t="n">
        <f aca="false">E2-C2</f>
        <v>0.0643287037152778</v>
      </c>
      <c r="I2" s="6" t="n">
        <f aca="false">(F2*86400)/B2</f>
        <v>3.8128</v>
      </c>
    </row>
    <row r="3" customFormat="false" ht="15" hidden="false" customHeight="false" outlineLevel="0" collapsed="false">
      <c r="A3" s="2" t="n">
        <v>35</v>
      </c>
      <c r="B3" s="2" t="n">
        <v>1250</v>
      </c>
      <c r="C3" s="3" t="n">
        <v>46279.2073263889</v>
      </c>
      <c r="D3" s="3" t="n">
        <v>46279.2573032407</v>
      </c>
      <c r="E3" s="3" t="n">
        <v>46279.2663773148</v>
      </c>
      <c r="F3" s="4" t="n">
        <f aca="false">D3-C3</f>
        <v>0.0499768518518519</v>
      </c>
      <c r="G3" s="4" t="n">
        <f aca="false">E3-D3</f>
        <v>0.00907407407407408</v>
      </c>
      <c r="H3" s="5" t="n">
        <f aca="false">E3-C3</f>
        <v>0.0590509259259259</v>
      </c>
      <c r="I3" s="6" t="n">
        <f aca="false">(F3*86400)/B3</f>
        <v>3.4544</v>
      </c>
    </row>
    <row r="4" customFormat="false" ht="15" hidden="false" customHeight="false" outlineLevel="0" collapsed="false">
      <c r="A4" s="7" t="n">
        <v>40</v>
      </c>
      <c r="B4" s="7" t="n">
        <v>909</v>
      </c>
      <c r="C4" s="8" t="n">
        <v>46279.2664583333</v>
      </c>
      <c r="D4" s="8" t="n">
        <v>46279.3054282407</v>
      </c>
      <c r="E4" s="8" t="n">
        <v>46279.3131712963</v>
      </c>
      <c r="F4" s="9" t="n">
        <f aca="false">D4-C4</f>
        <v>0.0389699074074074</v>
      </c>
      <c r="G4" s="9" t="n">
        <f aca="false">E4-D4</f>
        <v>0.00774305555555556</v>
      </c>
      <c r="H4" s="10" t="n">
        <f aca="false">E4-C4</f>
        <v>0.046712962962963</v>
      </c>
      <c r="I4" s="11" t="n">
        <f aca="false">(F4*86400)/B4</f>
        <v>3.7040704070407</v>
      </c>
    </row>
    <row r="5" customFormat="false" ht="15" hidden="false" customHeight="false" outlineLevel="0" collapsed="false">
      <c r="A5" s="2" t="n">
        <v>50</v>
      </c>
      <c r="B5" s="2" t="n">
        <v>1250</v>
      </c>
      <c r="C5" s="3" t="n">
        <v>46279.3132060185</v>
      </c>
      <c r="D5" s="3" t="n">
        <v>46279.3633564815</v>
      </c>
      <c r="E5" s="3" t="n">
        <v>46279.3722453704</v>
      </c>
      <c r="F5" s="4" t="n">
        <f aca="false">D5-C5</f>
        <v>0.050150462962963</v>
      </c>
      <c r="G5" s="4" t="n">
        <f aca="false">E5-D5</f>
        <v>0.00888888888888889</v>
      </c>
      <c r="H5" s="5" t="n">
        <f aca="false">E5-C5</f>
        <v>0.0590393518518519</v>
      </c>
      <c r="I5" s="6" t="n">
        <f aca="false">(F5*86400)/B5</f>
        <v>3.4664</v>
      </c>
    </row>
    <row r="6" customFormat="false" ht="15" hidden="false" customHeight="false" outlineLevel="0" collapsed="false">
      <c r="A6" s="2" t="n">
        <v>60</v>
      </c>
      <c r="B6" s="2" t="n">
        <v>1250</v>
      </c>
      <c r="C6" s="3" t="n">
        <v>46279.3722800926</v>
      </c>
      <c r="D6" s="3" t="n">
        <v>46279.418900463</v>
      </c>
      <c r="E6" s="3" t="n">
        <v>46279.4276851852</v>
      </c>
      <c r="F6" s="4" t="n">
        <f aca="false">D6-C6</f>
        <v>0.0466203703819444</v>
      </c>
      <c r="G6" s="4" t="n">
        <f aca="false">E6-D6</f>
        <v>0.00878472221064815</v>
      </c>
      <c r="H6" s="5" t="n">
        <f aca="false">E6-C6</f>
        <v>0.0554050925925926</v>
      </c>
      <c r="I6" s="6" t="n">
        <f aca="false">(F6*86400)/B6</f>
        <v>3.2224000008</v>
      </c>
    </row>
    <row r="8" customFormat="false" ht="15" hidden="false" customHeight="false" outlineLevel="0" collapsed="false">
      <c r="A8" s="12" t="s">
        <v>9</v>
      </c>
    </row>
    <row r="9" customFormat="false" ht="15" hidden="false" customHeight="false" outlineLevel="0" collapsed="false">
      <c r="A9" s="13" t="s">
        <v>10</v>
      </c>
      <c r="B9" s="13"/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3" t="s">
        <v>11</v>
      </c>
      <c r="B10" s="13"/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3" t="s">
        <v>12</v>
      </c>
      <c r="B11" s="13"/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3" t="s">
        <v>13</v>
      </c>
      <c r="B12" s="13"/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 t="s">
        <v>14</v>
      </c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3" t="s">
        <v>15</v>
      </c>
      <c r="B14" s="13"/>
      <c r="C14" s="13"/>
      <c r="D14" s="13"/>
      <c r="E14" s="13"/>
      <c r="F14" s="13"/>
      <c r="G14" s="13"/>
      <c r="H14" s="13"/>
      <c r="I14" s="13"/>
    </row>
  </sheetData>
  <mergeCells count="6">
    <mergeCell ref="A9:I9"/>
    <mergeCell ref="A10:I10"/>
    <mergeCell ref="A11:I11"/>
    <mergeCell ref="A12:I12"/>
    <mergeCell ref="A13:I13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2026-09-28T03:49:28Z</dcterms:created>
  <dc:creator>openpyxl</dc:creator>
  <dc:description/>
  <dc:language>en-US</dc:language>
  <cp:lastModifiedBy/>
  <dcterms:modified xsi:type="dcterms:W3CDTF">2026-09-28T03:49:28Z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