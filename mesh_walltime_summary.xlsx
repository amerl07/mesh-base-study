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0"/>
  <workbookPr/>
  <mc:AlternateContent xmlns:mc="http://schemas.openxmlformats.org/markup-compatibility/2006">
    <mc:Choice Requires="x15">
      <x15ac:absPath xmlns:x15ac="http://schemas.microsoft.com/office/spreadsheetml/2010/11/ac" url="/Users/amyliu/Downloads/"/>
    </mc:Choice>
  </mc:AlternateContent>
  <xr:revisionPtr revIDLastSave="0" documentId="13_ncr:1_{29FF156A-ABA5-7649-9070-D70644F5389E}" xr6:coauthVersionLast="47" xr6:coauthVersionMax="47" xr10:uidLastSave="{00000000-0000-0000-0000-000000000000}"/>
  <bookViews>
    <workbookView xWindow="0" yWindow="740" windowWidth="16380" windowHeight="8200" tabRatio="500" xr2:uid="{00000000-000D-0000-FFFF-FFFF00000000}"/>
  </bookViews>
  <sheets>
    <sheet name="Mesh Walltime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6" i="1" l="1"/>
  <c r="K6" i="1" s="1"/>
  <c r="G6" i="1"/>
  <c r="F6" i="1"/>
  <c r="I6" i="1" s="1"/>
  <c r="H5" i="1"/>
  <c r="K5" i="1" s="1"/>
  <c r="G5" i="1"/>
  <c r="F5" i="1"/>
  <c r="I5" i="1" s="1"/>
  <c r="H4" i="1"/>
  <c r="K4" i="1" s="1"/>
  <c r="G4" i="1"/>
  <c r="F4" i="1"/>
  <c r="I4" i="1" s="1"/>
  <c r="H3" i="1"/>
  <c r="K3" i="1" s="1"/>
  <c r="G3" i="1"/>
  <c r="F3" i="1"/>
  <c r="I3" i="1" s="1"/>
  <c r="H2" i="1"/>
  <c r="K2" i="1" s="1"/>
  <c r="G2" i="1"/>
  <c r="F2" i="1"/>
  <c r="I2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K2" authorId="0" shapeId="0" xr:uid="{00000000-0006-0000-0000-000002000000}">
      <text>
        <r>
          <rPr>
            <sz val="10"/>
            <rFont val="Arial"/>
            <family val="2"/>
          </rPr>
          <t>Cores confirmed via `wc -l machinefile` in each job dir on Sabalcore (143 cores, all five runs) — not the 128 assumed from the usage doc's 'Green partition' description. Core-hours here = total wall time (job start to job complete, incl. post-processing) x 143 cores. Sum of these five values (~977 core-hours) does not match the real `mybalance` debit for that calendar day (1,274.60 core-hours, confirmed via mybalance -S/-E bracket) — a ~298 core-hour gap unaccounted for. Cause unconfirmed (billing overhead, rounding, another job, etc.) — flag this gap if citing exact core-hours in the design review.</t>
        </r>
      </text>
    </comment>
    <comment ref="B4" authorId="0" shapeId="0" xr:uid="{00000000-0006-0000-0000-000001000000}">
      <text>
        <r>
          <rPr>
            <sz val="10"/>
            <rFont val="Arial"/>
            <family val="2"/>
          </rPr>
          <t>40mm run stopped at 909 iterations, not 1250 like the other four runs. Cause not yet confirmed (early stopping-criterion hit vs. PBS walltime cutoff vs. other) — check starccm.log / .e file on Sabalcore to confirm before citing this row as directly comparable.</t>
        </r>
      </text>
    </comment>
  </commentList>
</comments>
</file>

<file path=xl/sharedStrings.xml><?xml version="1.0" encoding="utf-8"?>
<sst xmlns="http://schemas.openxmlformats.org/spreadsheetml/2006/main" count="19" uniqueCount="19">
  <si>
    <t>Mesh Base Size (mm)</t>
  </si>
  <si>
    <t>Iterations Run</t>
  </si>
  <si>
    <t>Start Time</t>
  </si>
  <si>
    <t>Solve End Time</t>
  </si>
  <si>
    <t>Job Complete Time</t>
  </si>
  <si>
    <t>Solve Time</t>
  </si>
  <si>
    <t>Post-Processing Time</t>
  </si>
  <si>
    <t>Total Wall Time</t>
  </si>
  <si>
    <t>Solve Time / Iteration (s)</t>
  </si>
  <si>
    <t>Cores Used (machinefile)</t>
  </si>
  <si>
    <t>Core-Hours (Total Wall Time x Cores)</t>
  </si>
  <si>
    <t>Notes:</t>
  </si>
  <si>
    <t>- Start Time = timestamp of 'machinefile' (written when PBS job begins executing on allocated nodes).</t>
  </si>
  <si>
    <t>- Solve End Time = timestamp of the numbered .sim file (solution written at final iteration).</t>
  </si>
  <si>
    <t>- Job Complete Time = timestamp of the PBS .o&lt;jobid&gt; log (written after scene export + post.zip archiving).</t>
  </si>
  <si>
    <t>- All times derived from file mtimes on Sabalcore (ls -la --time-style=full-iso), not PBS accounting logs (already purged for these jobs).</t>
  </si>
  <si>
    <t>- Convergence assumed for all five runs per request; not independently verified from force report residual/monitor data.</t>
  </si>
  <si>
    <t>- Core-hours computed from confirmed machinefile core count (143) x total wall time; see cell comment on K2 for reconciliation gap vs. real mybalance daily total.</t>
  </si>
  <si>
    <t>- Core-Hours Used (est.) = Total Wall Time (hrs) x 128 cores (per Sabalcore guide's 128-core partition for full-car sims); not yet verified against actual mybalance debits.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</si>
</sst>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6" x14ac:knownFonts="1">
    <font>
      <sz val="11"/>
      <color theme="1"/>
      <name val="Calibri"/>
      <family val="2"/>
      <charset val="1"/>
    </font>
    <font>
      <sz val="10"/>
      <name val="Arial"/>
      <family val="2"/>
    </font>
    <font>
      <b/>
      <sz val="11"/>
      <color rgb="FFFFFFFF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i/>
      <sz val="9"/>
      <color rgb="FF80808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404040"/>
        <bgColor rgb="FF333300"/>
      </patternFill>
    </fill>
    <fill>
      <patternFill patternType="solid">
        <fgColor rgb="FFFFF2CC"/>
        <b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5" fillId="0" borderId="0" xfId="0" applyFont="1"/>
    <xf numFmtId="0" fontId="2" fillId="2" borderId="0" xfId="0" applyFont="1" applyFill="1" applyAlignment="1">
      <alignment horizontal="center" wrapText="1"/>
    </xf>
    <xf numFmtId="0" fontId="3" fillId="0" borderId="0" xfId="0" applyFont="1" applyAlignment="1">
      <alignment horizontal="center"/>
    </xf>
    <xf numFmtId="164" fontId="3" fillId="0" borderId="0" xfId="0" applyNumberFormat="1" applyFont="1"/>
    <xf numFmtId="46" fontId="3" fillId="0" borderId="0" xfId="0" applyNumberFormat="1" applyFont="1" applyAlignment="1">
      <alignment horizontal="center"/>
    </xf>
    <xf numFmtId="46" fontId="4" fillId="0" borderId="0" xfId="0" applyNumberFormat="1" applyFont="1" applyAlignment="1">
      <alignment horizontal="center"/>
    </xf>
    <xf numFmtId="2" fontId="3" fillId="0" borderId="0" xfId="0" applyNumberFormat="1" applyFont="1" applyAlignment="1">
      <alignment horizontal="center"/>
    </xf>
    <xf numFmtId="2" fontId="4" fillId="0" borderId="0" xfId="0" applyNumberFormat="1" applyFont="1" applyAlignment="1">
      <alignment horizontal="center"/>
    </xf>
    <xf numFmtId="0" fontId="3" fillId="3" borderId="0" xfId="0" applyFont="1" applyFill="1" applyAlignment="1">
      <alignment horizontal="center"/>
    </xf>
    <xf numFmtId="164" fontId="3" fillId="3" borderId="0" xfId="0" applyNumberFormat="1" applyFont="1" applyFill="1"/>
    <xf numFmtId="46" fontId="3" fillId="3" borderId="0" xfId="0" applyNumberFormat="1" applyFont="1" applyFill="1" applyAlignment="1">
      <alignment horizontal="center"/>
    </xf>
    <xf numFmtId="46" fontId="4" fillId="3" borderId="0" xfId="0" applyNumberFormat="1" applyFont="1" applyFill="1" applyAlignment="1">
      <alignment horizontal="center"/>
    </xf>
    <xf numFmtId="2" fontId="3" fillId="3" borderId="0" xfId="0" applyNumberFormat="1" applyFont="1" applyFill="1" applyAlignment="1">
      <alignment horizontal="center"/>
    </xf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5"/>
  <sheetViews>
    <sheetView tabSelected="1" topLeftCell="H1" zoomScaleNormal="100" workbookViewId="0">
      <selection activeCell="K6" sqref="K6"/>
    </sheetView>
  </sheetViews>
  <sheetFormatPr baseColWidth="10" defaultColWidth="8.6640625" defaultRowHeight="15" x14ac:dyDescent="0.2"/>
  <cols>
    <col min="1" max="1" width="18" customWidth="1"/>
    <col min="2" max="2" width="14" customWidth="1"/>
    <col min="3" max="5" width="20" customWidth="1"/>
    <col min="6" max="6" width="14" customWidth="1"/>
    <col min="7" max="7" width="18" customWidth="1"/>
    <col min="8" max="8" width="16" customWidth="1"/>
    <col min="9" max="10" width="20" customWidth="1"/>
    <col min="11" max="11" width="24" customWidth="1"/>
  </cols>
  <sheetData>
    <row r="1" spans="1:11" ht="30" customHeight="1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spans="1:11" ht="15" customHeight="1" x14ac:dyDescent="0.2">
      <c r="A2" s="3">
        <v>30</v>
      </c>
      <c r="B2" s="3">
        <v>1250</v>
      </c>
      <c r="C2" s="4">
        <v>46279.142951388902</v>
      </c>
      <c r="D2" s="4">
        <v>46279.198113425897</v>
      </c>
      <c r="E2" s="4">
        <v>46279.207280092603</v>
      </c>
      <c r="F2" s="5">
        <f t="shared" ref="F2:G6" si="0">D2-C2</f>
        <v>5.5162036995170638E-2</v>
      </c>
      <c r="G2" s="5">
        <f t="shared" si="0"/>
        <v>9.1666667067329399E-3</v>
      </c>
      <c r="H2" s="6">
        <f>E2-C2</f>
        <v>6.4328703701903578E-2</v>
      </c>
      <c r="I2" s="7">
        <f>(F2*86400)/B2</f>
        <v>3.8127999971061945</v>
      </c>
      <c r="J2" s="3">
        <v>143</v>
      </c>
      <c r="K2" s="8">
        <f>H2*24*J2</f>
        <v>220.77611110493308</v>
      </c>
    </row>
    <row r="3" spans="1:11" ht="15" customHeight="1" x14ac:dyDescent="0.2">
      <c r="A3" s="3">
        <v>35</v>
      </c>
      <c r="B3" s="3">
        <v>1250</v>
      </c>
      <c r="C3" s="4">
        <v>46279.207326388903</v>
      </c>
      <c r="D3" s="4">
        <v>46279.257303240702</v>
      </c>
      <c r="E3" s="4">
        <v>46279.266377314802</v>
      </c>
      <c r="F3" s="5">
        <f t="shared" si="0"/>
        <v>4.9976851798419375E-2</v>
      </c>
      <c r="G3" s="5">
        <f t="shared" si="0"/>
        <v>9.0740740997716784E-3</v>
      </c>
      <c r="H3" s="6">
        <f>E3-C3</f>
        <v>5.9050925898191053E-2</v>
      </c>
      <c r="I3" s="7">
        <f>(F3*86400)/B3</f>
        <v>3.4543999963067473</v>
      </c>
      <c r="J3" s="3">
        <v>143</v>
      </c>
      <c r="K3" s="8">
        <f>H3*24*J3</f>
        <v>202.6627776825917</v>
      </c>
    </row>
    <row r="4" spans="1:11" ht="15" customHeight="1" x14ac:dyDescent="0.2">
      <c r="A4" s="9">
        <v>40</v>
      </c>
      <c r="B4" s="9">
        <v>909</v>
      </c>
      <c r="C4" s="10">
        <v>46279.266458333303</v>
      </c>
      <c r="D4" s="10">
        <v>46279.305428240703</v>
      </c>
      <c r="E4" s="10">
        <v>46279.3131712963</v>
      </c>
      <c r="F4" s="11">
        <f t="shared" si="0"/>
        <v>3.8969907400314696E-2</v>
      </c>
      <c r="G4" s="11">
        <f t="shared" si="0"/>
        <v>7.7430555975297466E-3</v>
      </c>
      <c r="H4" s="12">
        <f>E4-C4</f>
        <v>4.6712962997844443E-2</v>
      </c>
      <c r="I4" s="13">
        <f>(F4*86400)/B4</f>
        <v>3.7040704063665455</v>
      </c>
      <c r="J4" s="3">
        <v>143</v>
      </c>
      <c r="K4" s="8">
        <f>H4*24*J4</f>
        <v>160.31888900860213</v>
      </c>
    </row>
    <row r="5" spans="1:11" ht="15" customHeight="1" x14ac:dyDescent="0.2">
      <c r="A5" s="3">
        <v>50</v>
      </c>
      <c r="B5" s="3">
        <v>1250</v>
      </c>
      <c r="C5" s="4">
        <v>46279.313206018502</v>
      </c>
      <c r="D5" s="4">
        <v>46279.363356481503</v>
      </c>
      <c r="E5" s="4">
        <v>46279.372245370403</v>
      </c>
      <c r="F5" s="5">
        <f t="shared" si="0"/>
        <v>5.0150463001045864E-2</v>
      </c>
      <c r="G5" s="5">
        <f t="shared" si="0"/>
        <v>8.8888889004010707E-3</v>
      </c>
      <c r="H5" s="6">
        <f>E5-C5</f>
        <v>5.9039351901446935E-2</v>
      </c>
      <c r="I5" s="7">
        <f>(F5*86400)/B5</f>
        <v>3.4664000026322901</v>
      </c>
      <c r="J5" s="3">
        <v>143</v>
      </c>
      <c r="K5" s="8">
        <f>H5*24*J5</f>
        <v>202.62305572576588</v>
      </c>
    </row>
    <row r="6" spans="1:11" ht="15" customHeight="1" x14ac:dyDescent="0.2">
      <c r="A6" s="3">
        <v>60</v>
      </c>
      <c r="B6" s="3">
        <v>1250</v>
      </c>
      <c r="C6" s="4">
        <v>46279.372280092597</v>
      </c>
      <c r="D6" s="4">
        <v>46279.418900463003</v>
      </c>
      <c r="E6" s="4">
        <v>46279.427685185197</v>
      </c>
      <c r="F6" s="5">
        <f t="shared" si="0"/>
        <v>4.6620370405435096E-2</v>
      </c>
      <c r="G6" s="5">
        <f t="shared" si="0"/>
        <v>8.784722194832284E-3</v>
      </c>
      <c r="H6" s="6">
        <f>E6-C6</f>
        <v>5.540509260026738E-2</v>
      </c>
      <c r="I6" s="7">
        <f>(F6*86400)/B6</f>
        <v>3.2224000024236741</v>
      </c>
      <c r="J6" s="3">
        <v>143</v>
      </c>
      <c r="K6" s="8">
        <f>H6*24*J6</f>
        <v>190.15027780411765</v>
      </c>
    </row>
    <row r="8" spans="1:11" ht="15" customHeight="1" x14ac:dyDescent="0.2">
      <c r="A8" s="14" t="s">
        <v>11</v>
      </c>
    </row>
    <row r="9" spans="1:11" ht="15" customHeight="1" x14ac:dyDescent="0.2">
      <c r="A9" s="1" t="s">
        <v>12</v>
      </c>
      <c r="B9" s="1"/>
      <c r="C9" s="1"/>
      <c r="D9" s="1"/>
      <c r="E9" s="1"/>
      <c r="F9" s="1"/>
      <c r="G9" s="1"/>
      <c r="H9" s="1"/>
      <c r="I9" s="1"/>
    </row>
    <row r="10" spans="1:11" ht="15" customHeight="1" x14ac:dyDescent="0.2">
      <c r="A10" s="1" t="s">
        <v>13</v>
      </c>
      <c r="B10" s="1"/>
      <c r="C10" s="1"/>
      <c r="D10" s="1"/>
      <c r="E10" s="1"/>
      <c r="F10" s="1"/>
      <c r="G10" s="1"/>
      <c r="H10" s="1"/>
      <c r="I10" s="1"/>
    </row>
    <row r="11" spans="1:11" ht="15" customHeight="1" x14ac:dyDescent="0.2">
      <c r="A11" s="1" t="s">
        <v>14</v>
      </c>
      <c r="B11" s="1"/>
      <c r="C11" s="1"/>
      <c r="D11" s="1"/>
      <c r="E11" s="1"/>
      <c r="F11" s="1"/>
      <c r="G11" s="1"/>
      <c r="H11" s="1"/>
      <c r="I11" s="1"/>
    </row>
    <row r="12" spans="1:11" ht="15" customHeight="1" x14ac:dyDescent="0.2">
      <c r="A12" s="1" t="s">
        <v>15</v>
      </c>
      <c r="B12" s="1"/>
      <c r="C12" s="1"/>
      <c r="D12" s="1"/>
      <c r="E12" s="1"/>
      <c r="F12" s="1"/>
      <c r="G12" s="1"/>
      <c r="H12" s="1"/>
      <c r="I12" s="1"/>
    </row>
    <row r="13" spans="1:11" ht="15" customHeight="1" x14ac:dyDescent="0.2">
      <c r="A13" s="1" t="s">
        <v>16</v>
      </c>
      <c r="B13" s="1"/>
      <c r="C13" s="1"/>
      <c r="D13" s="1"/>
      <c r="E13" s="1"/>
      <c r="F13" s="1"/>
      <c r="G13" s="1"/>
      <c r="H13" s="1"/>
      <c r="I13" s="1"/>
    </row>
    <row r="14" spans="1:11" ht="15" customHeight="1" x14ac:dyDescent="0.2">
      <c r="A14" s="1" t="s">
        <v>17</v>
      </c>
      <c r="B14" s="1"/>
      <c r="C14" s="1"/>
      <c r="D14" s="1"/>
      <c r="E14" s="1"/>
      <c r="F14" s="1"/>
      <c r="G14" s="1"/>
      <c r="H14" s="1"/>
      <c r="I14" s="1"/>
      <c r="J14" s="1"/>
      <c r="K14" s="1"/>
    </row>
    <row r="15" spans="1:11" ht="15" customHeight="1" x14ac:dyDescent="0.2">
      <c r="A15" s="1" t="s">
        <v>18</v>
      </c>
      <c r="B15" s="1"/>
      <c r="C15" s="1"/>
      <c r="D15" s="1"/>
      <c r="E15" s="1"/>
      <c r="F15" s="1"/>
      <c r="G15" s="1"/>
      <c r="H15" s="1"/>
      <c r="I15" s="1"/>
      <c r="J15" s="1"/>
      <c r="K15" s="1"/>
    </row>
  </sheetData>
  <mergeCells count="7">
    <mergeCell ref="A14:K14"/>
    <mergeCell ref="A15:K15"/>
    <mergeCell ref="A9:I9"/>
    <mergeCell ref="A10:I10"/>
    <mergeCell ref="A11:I11"/>
    <mergeCell ref="A12:I12"/>
    <mergeCell ref="A13:I13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Mesh Walltime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Yumo Liu</cp:lastModifiedBy>
  <cp:revision>0</cp:revision>
  <dcterms:created xsi:type="dcterms:W3CDTF">2026-09-28T03:49:28Z</dcterms:created>
  <dcterms:modified xsi:type="dcterms:W3CDTF">2026-09-29T04:10:45Z</dcterms:modified>
  <dc:language>en-US</dc:language>
</cp:coreProperties>
</file>