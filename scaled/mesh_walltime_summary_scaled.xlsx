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16380" windowHeight="8200" tabRatio="500" firstSheet="0" activeTab="0" autoFilterDateGrouping="1"/>
  </bookViews>
  <sheets>
    <sheet xmlns:r="http://schemas.openxmlformats.org/officeDocument/2006/relationships" name="Mesh Walltime (Scaled)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7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i val="1"/>
      <color rgb="FF808080"/>
      <sz val="9"/>
    </font>
    <font>
      <name val="Calibri"/>
      <charset val="1"/>
      <family val="2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FF2CC"/>
        <bgColor rgb="FFFFFFFF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5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164" fontId="3" fillId="0" borderId="0" pivotButton="0" quotePrefix="0" xfId="0"/>
    <xf numFmtId="46" fontId="3" fillId="0" borderId="0" applyAlignment="1" pivotButton="0" quotePrefix="0" xfId="0">
      <alignment horizontal="center"/>
    </xf>
    <xf numFmtId="46" fontId="4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2" fontId="4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164" fontId="3" fillId="3" borderId="0" pivotButton="0" quotePrefix="0" xfId="0"/>
    <xf numFmtId="46" fontId="3" fillId="3" borderId="0" applyAlignment="1" pivotButton="0" quotePrefix="0" xfId="0">
      <alignment horizontal="center"/>
    </xf>
    <xf numFmtId="46" fontId="4" fillId="3" borderId="0" applyAlignment="1" pivotButton="0" quotePrefix="0" xfId="0">
      <alignment horizontal="center"/>
    </xf>
    <xf numFmtId="2" fontId="3" fillId="3" borderId="0" applyAlignment="1" pivotButton="0" quotePrefix="0" xfId="0">
      <alignment horizontal="center"/>
    </xf>
    <xf numFmtId="0" fontId="4" fillId="0" borderId="0" pivotButton="0" quotePrefix="0" xfId="0"/>
    <xf numFmtId="0" fontId="3" fillId="4" borderId="0" applyAlignment="1" pivotButton="0" quotePrefix="0" xfId="0">
      <alignment horizontal="center"/>
    </xf>
    <xf numFmtId="0" fontId="6" fillId="0" borderId="0" pivotButton="0" quotePrefix="0" xfId="0"/>
    <xf numFmtId="164" fontId="3" fillId="4" borderId="0" pivotButton="0" quotePrefix="0" xfId="0"/>
    <xf numFmtId="46" fontId="3" fillId="4" borderId="0" applyAlignment="1" pivotButton="0" quotePrefix="0" xfId="0">
      <alignment horizontal="center"/>
    </xf>
    <xf numFmtId="46" fontId="4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Claude</author>
  </authors>
  <commentList>
    <comment ref="B2" authorId="0" shapeId="0">
      <text>
        <t>Iterations NOT confirmed. Estimated from the numbered .sim suffix (_0700/_0900/_0600/_1200). In the original study, _1200 runs ran 1250 iters and the _0900 run ran 909, so the suffix looks like the last 100-iteration checkpoint. Verify from starccm.log in each job dir.</t>
      </text>
    </comment>
    <comment ref="E2" authorId="0" shapeId="0">
      <text>
        <t>30mm job did NOT complete: killed by SIGTERM during post-processing (end of starccm.log). No .o log was written, so this is the starccm.log mtime (time of kill). Post-Processing / Total Wall Time / Core-Hours are therefore partial (scene + force report export never finished). Solve time (to the _0700.sim save) is complete.</t>
      </text>
    </comment>
    <comment ref="J2" authorId="0" shapeId="0">
      <text>
        <t>Cores NOT confirmed. Estimated as machinefile size / 8 bytes per line (confirmed for the 30mm job: 1016 B / wc -l = 127). Verify with `wc -l machinefile` in each job dir. 30mm: 127 confirmed with wc -l (not an estimate).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tabSelected="1" topLeftCell="H1" zoomScaleNormal="100" workbookViewId="0">
      <selection activeCell="K6" sqref="K6"/>
    </sheetView>
  </sheetViews>
  <sheetFormatPr baseColWidth="10" defaultColWidth="8.6640625" defaultRowHeight="15"/>
  <cols>
    <col width="18" customWidth="1" min="1" max="1"/>
    <col width="14" customWidth="1" min="2" max="2"/>
    <col width="20" customWidth="1" min="3" max="5"/>
    <col width="14" customWidth="1" min="6" max="6"/>
    <col width="18" customWidth="1" min="7" max="7"/>
    <col width="16" customWidth="1" min="8" max="8"/>
    <col width="20" customWidth="1" min="9" max="10"/>
    <col width="24" customWidth="1" min="10" max="10"/>
    <col width="24" customWidth="1" min="11" max="11"/>
    <col width="22" customWidth="1" min="12" max="12"/>
  </cols>
  <sheetData>
    <row r="1" ht="30" customHeight="1">
      <c r="A1" s="2" t="inlineStr">
        <is>
          <t>Mesh Base Size (mm)</t>
        </is>
      </c>
      <c r="B1" s="2" t="inlineStr">
        <is>
          <t>Iterations Run</t>
        </is>
      </c>
      <c r="C1" s="2" t="inlineStr">
        <is>
          <t>Start Time</t>
        </is>
      </c>
      <c r="D1" s="2" t="inlineStr">
        <is>
          <t>Solve End Time</t>
        </is>
      </c>
      <c r="E1" s="2" t="inlineStr">
        <is>
          <t>Job Complete Time</t>
        </is>
      </c>
      <c r="F1" s="2" t="inlineStr">
        <is>
          <t>Solve Time</t>
        </is>
      </c>
      <c r="G1" s="2" t="inlineStr">
        <is>
          <t>Post-Processing Time</t>
        </is>
      </c>
      <c r="H1" s="2" t="inlineStr">
        <is>
          <t>Total Wall Time</t>
        </is>
      </c>
      <c r="I1" s="2" t="inlineStr">
        <is>
          <t>Solve Time / Iteration (s)</t>
        </is>
      </c>
      <c r="J1" s="2" t="inlineStr">
        <is>
          <t>Cores Used (machinefile)</t>
        </is>
      </c>
      <c r="K1" s="2" t="inlineStr">
        <is>
          <t>Core-Hours (Total Wall Time x Cores)</t>
        </is>
      </c>
      <c r="L1" s="2" t="inlineStr">
        <is>
          <t>Core-Seconds / Iteration</t>
        </is>
      </c>
    </row>
    <row r="2" ht="15" customHeight="1">
      <c r="A2" s="3" t="n">
        <v>30</v>
      </c>
      <c r="B2" s="15" t="n">
        <v>700</v>
      </c>
      <c r="C2" s="4" t="n">
        <v>46299.27851851852</v>
      </c>
      <c r="D2" s="4" t="n">
        <v>46299.35254629629</v>
      </c>
      <c r="E2" s="17" t="n">
        <v>46299.35579861111</v>
      </c>
      <c r="F2" s="5">
        <f>D2-C2</f>
        <v/>
      </c>
      <c r="G2" s="18">
        <f>E2-D2</f>
        <v/>
      </c>
      <c r="H2" s="19">
        <f>E2-C2</f>
        <v/>
      </c>
      <c r="I2" s="7">
        <f>(F2*86400)/B2</f>
        <v/>
      </c>
      <c r="J2" s="3" t="n">
        <v>127</v>
      </c>
      <c r="K2" s="8">
        <f>H2*24*J2</f>
        <v/>
      </c>
      <c r="L2" s="7">
        <f>I2*J2</f>
        <v/>
      </c>
    </row>
    <row r="3" ht="15" customHeight="1">
      <c r="A3" s="3" t="n">
        <v>40</v>
      </c>
      <c r="B3" s="15" t="n">
        <v>900</v>
      </c>
      <c r="C3" s="4" t="n">
        <v>46299.27673611111</v>
      </c>
      <c r="D3" s="4" t="n">
        <v>46299.33153935185</v>
      </c>
      <c r="E3" s="4" t="n">
        <v>46299.34321759259</v>
      </c>
      <c r="F3" s="5">
        <f>D3-C3</f>
        <v/>
      </c>
      <c r="G3" s="5">
        <f>E3-D3</f>
        <v/>
      </c>
      <c r="H3" s="6">
        <f>E3-C3</f>
        <v/>
      </c>
      <c r="I3" s="7">
        <f>(F3*86400)/B3</f>
        <v/>
      </c>
      <c r="J3" s="15" t="n">
        <v>95</v>
      </c>
      <c r="K3" s="8">
        <f>H3*24*J3</f>
        <v/>
      </c>
      <c r="L3" s="7">
        <f>I3*J3</f>
        <v/>
      </c>
    </row>
    <row r="4" ht="15" customHeight="1">
      <c r="A4" s="3" t="n">
        <v>60</v>
      </c>
      <c r="B4" s="15" t="n">
        <v>600</v>
      </c>
      <c r="C4" s="4" t="n">
        <v>46299.27673611111</v>
      </c>
      <c r="D4" s="4" t="n">
        <v>46299.30688657407</v>
      </c>
      <c r="E4" s="4" t="n">
        <v>46299.31829861111</v>
      </c>
      <c r="F4" s="5">
        <f>D4-C4</f>
        <v/>
      </c>
      <c r="G4" s="5">
        <f>E4-D4</f>
        <v/>
      </c>
      <c r="H4" s="6">
        <f>E4-C4</f>
        <v/>
      </c>
      <c r="I4" s="7">
        <f>(F4*86400)/B4</f>
        <v/>
      </c>
      <c r="J4" s="15" t="n">
        <v>63</v>
      </c>
      <c r="K4" s="8">
        <f>H4*24*J4</f>
        <v/>
      </c>
      <c r="L4" s="7">
        <f>I4*J4</f>
        <v/>
      </c>
    </row>
    <row r="5" ht="15" customHeight="1">
      <c r="A5" s="3" t="n">
        <v>100</v>
      </c>
      <c r="B5" s="15" t="n">
        <v>1250</v>
      </c>
      <c r="C5" s="4" t="n">
        <v>46299.2752662037</v>
      </c>
      <c r="D5" s="4" t="n">
        <v>46299.3559837963</v>
      </c>
      <c r="E5" s="4" t="n">
        <v>46299.36608796296</v>
      </c>
      <c r="F5" s="5">
        <f>D5-C5</f>
        <v/>
      </c>
      <c r="G5" s="5">
        <f>E5-D5</f>
        <v/>
      </c>
      <c r="H5" s="6">
        <f>E5-C5</f>
        <v/>
      </c>
      <c r="I5" s="7">
        <f>(F5*86400)/B5</f>
        <v/>
      </c>
      <c r="J5" s="15" t="n">
        <v>15</v>
      </c>
      <c r="K5" s="8">
        <f>H5*24*J5</f>
        <v/>
      </c>
      <c r="L5" s="7">
        <f>I5*J5</f>
        <v/>
      </c>
    </row>
    <row r="6" ht="15" customHeight="1"/>
    <row r="7">
      <c r="A7" s="16" t="inlineStr">
        <is>
          <t>Notes:</t>
        </is>
      </c>
    </row>
    <row r="8" ht="15" customHeight="1">
      <c r="A8" t="inlineStr">
        <is>
          <t>- Start Time = timestamp of 'machinefile' (written when PBS job begins executing on allocated nodes).</t>
        </is>
      </c>
    </row>
    <row r="9" ht="15" customHeight="1">
      <c r="A9" t="inlineStr">
        <is>
          <t>- Solve End Time = timestamp of the numbered .sim file (solution written at final iteration).</t>
        </is>
      </c>
    </row>
    <row r="10" ht="15" customHeight="1">
      <c r="A10" t="inlineStr">
        <is>
          <t>- Job Complete Time = timestamp of the PBS .o&lt;jobid&gt; log (written after scene export + post.zip archiving).</t>
        </is>
      </c>
    </row>
    <row r="11" ht="15" customHeight="1">
      <c r="A11" t="inlineStr">
        <is>
          <t>- All times derived from file mtimes on Sabalcore (ls -la --time-style=full-iso, UTC), not PBS accounting logs.</t>
        </is>
      </c>
    </row>
    <row r="12" ht="15" customHeight="1">
      <c r="A12" t="inlineStr">
        <is>
          <t>- Yellow = estimated, not confirmed. Iterations Run comes from the numbered .sim suffix (see comment on B2); Cores Used comes from machinefile size / 8 B per line (see comment on J2).</t>
        </is>
      </c>
    </row>
    <row r="13" ht="15" customHeight="1">
      <c r="A13" t="inlineStr">
        <is>
          <t>- Runs used DIFFERENT core counts (127 / 95 / 63 / 15), so Solve Time / Iteration is NOT comparable across mesh sizes. Compare cost with Core-Seconds / Iteration or Core-Hours.</t>
        </is>
      </c>
    </row>
    <row r="14" ht="15" customHeight="1">
      <c r="A14" t="inlineStr">
        <is>
          <t>- All four runs ran concurrently on 2026-10-04 (shared cluster load).</t>
        </is>
      </c>
    </row>
    <row r="15" ht="15" customHeight="1">
      <c r="A15" t="inlineStr">
        <is>
          <t>- 30mm (DY_FC_Mesh30mm_Straight_20261003) was killed (SIGTERM) ~5 min into post-processing; its Job Complete Time is the kill time (see comment on E2). No force report yet.</t>
        </is>
      </c>
    </row>
    <row r="16">
      <c r="A16" t="inlineStr">
        <is>
          <t>- Convergence assumed; not independently verified from residual/monitor data.</t>
        </is>
      </c>
    </row>
  </sheetData>
  <mergeCells count="9">
    <mergeCell ref="A16:L16"/>
    <mergeCell ref="A15:L15"/>
    <mergeCell ref="A10:L10"/>
    <mergeCell ref="A11:L11"/>
    <mergeCell ref="A13:L13"/>
    <mergeCell ref="A8:L8"/>
    <mergeCell ref="A14:L14"/>
    <mergeCell ref="A9:L9"/>
    <mergeCell ref="A12:L12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2026-09-28T03:49:28Z</dcterms:created>
  <dcterms:modified xmlns:dcterms="http://purl.org/dc/terms/" xmlns:xsi="http://www.w3.org/2001/XMLSchema-instance" xsi:type="dcterms:W3CDTF">2026-10-11T04:51:14Z</dcterms:modified>
  <cp:lastModifiedBy>Yumo Liu</cp:lastModifiedBy>
  <cp:revision>0</cp:revision>
</cp:coreProperties>
</file>